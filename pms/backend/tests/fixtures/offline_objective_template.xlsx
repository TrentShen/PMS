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8240"/>
  </bookViews>
  <sheets>
    <sheet name="目标设定表" sheetId="11" r:id="rId1"/>
    <sheet name="考核标准" sheetId="1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<sst xmlns="http://schemas.openxmlformats.org/spreadsheetml/2006/main" count="82" uniqueCount="69">
  <si>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绩效设定表</t>
  </si>
  <si>
    <t>姓名</t>
  </si>
  <si>
    <t>工号</t>
  </si>
  <si>
    <t>所在部门</t>
  </si>
  <si>
    <t>所任职位</t>
  </si>
  <si>
    <t>考核周期</t>
  </si>
  <si>
    <t>考核责任者</t>
  </si>
  <si>
    <t>第一部分：业绩目标</t>
  </si>
  <si>
    <t>序号</t>
  </si>
  <si>
    <t>业绩KPI/重点工作（考核项）</t>
  </si>
  <si>
    <t>权重
（相加=100%）</t>
  </si>
  <si>
    <t>关键成果及交付（4分及5分需写出分项的考核标准）</t>
  </si>
  <si>
    <t>员工自评</t>
  </si>
  <si>
    <t>上级评分</t>
  </si>
  <si>
    <t>上级评分-业绩考核
等级（计算得出）</t>
  </si>
  <si>
    <t>评分</t>
  </si>
  <si>
    <t>自评描述</t>
  </si>
  <si>
    <t>上级描述</t>
  </si>
  <si>
    <t>合计</t>
  </si>
  <si>
    <t>第二部分：价值观</t>
  </si>
  <si>
    <t>价值观
评分标准：</t>
  </si>
  <si>
    <t>甲--超越自我，对团队有影响，和组织融为一体/杰出的榜样，有丰富的事例和广泛的好评
乙--言行表现符合MO价值观要求 ，是个合格的MOer
丙--缺乏基本的素质和要求，突破价值观底线。 根据程度不同，需要改进甚至离开</t>
  </si>
  <si>
    <t>价值观最终结果规则：
1、上级领导评价为最终评价标准；
2、有三个及三个以上为甲，且无丙则为“甲”；
3、有一个丙则为“丙”；
4、其他为“乙”。</t>
  </si>
  <si>
    <t>行为维度</t>
  </si>
  <si>
    <t>上级评价</t>
  </si>
  <si>
    <t>评价描述</t>
  </si>
  <si>
    <t>信念</t>
  </si>
  <si>
    <t>乙</t>
  </si>
  <si>
    <t>团队</t>
  </si>
  <si>
    <t>成长</t>
  </si>
  <si>
    <t>甲</t>
  </si>
  <si>
    <t>价值观最终结果：</t>
  </si>
  <si>
    <t>第三部分：考核结果</t>
  </si>
  <si>
    <t>考核评价</t>
  </si>
  <si>
    <t>个人评价</t>
  </si>
  <si>
    <t>考核期间表现最好的三个方面：</t>
  </si>
  <si>
    <t>考核期间最需改善和提升的三个方面：</t>
  </si>
  <si>
    <t>领导评价</t>
  </si>
  <si>
    <t>考核期间表现最好的三个方面：
1.
2.
3.</t>
  </si>
  <si>
    <t>考核期间最需改善和提升的三个方面：
1.
2.
3.</t>
  </si>
  <si>
    <t>员工签字/日期：</t>
  </si>
  <si>
    <t>直接上级／日期：</t>
  </si>
  <si>
    <t>部门负责人/日期：</t>
  </si>
  <si>
    <t>业绩
评分等级标准：</t>
  </si>
  <si>
    <t>分数区间</t>
  </si>
  <si>
    <t>对应等级</t>
  </si>
  <si>
    <t>标准</t>
  </si>
  <si>
    <t xml:space="preserve">业绩绩效考核评价指南：
1、考核项的设置尽量可量化，遵循Smart原则；考核项的数量设置以3-5项为适宜，能量化的尽量量化，不能量化的尽量细化；
2、评价以5分制为标准，最高分为5分，最低分为0分；
3、白色区域为员工自填项，红色区域为上级评价项，绿色区域为自动计算，无需填写；
</t>
  </si>
  <si>
    <r>
      <rPr>
        <b/>
        <sz val="9"/>
        <color theme="1"/>
        <rFont val="微软雅黑"/>
        <charset val="134"/>
      </rPr>
      <t>4.5分（</t>
    </r>
    <r>
      <rPr>
        <b/>
        <sz val="9"/>
        <color indexed="10"/>
        <rFont val="微软雅黑"/>
        <charset val="134"/>
      </rPr>
      <t>不含</t>
    </r>
    <r>
      <rPr>
        <b/>
        <sz val="9"/>
        <color theme="1"/>
        <rFont val="微软雅黑"/>
        <charset val="134"/>
      </rPr>
      <t>）以上</t>
    </r>
  </si>
  <si>
    <t>优秀</t>
  </si>
  <si>
    <t>显著超过预期绩效目标或职责要求，并在目标达成过程中价值观行为堪称典范，对团队其他成员有积极的影响作用。</t>
  </si>
  <si>
    <r>
      <rPr>
        <b/>
        <sz val="9"/>
        <color theme="1"/>
        <rFont val="微软雅黑"/>
        <charset val="134"/>
      </rPr>
      <t>4分（</t>
    </r>
    <r>
      <rPr>
        <b/>
        <sz val="9"/>
        <color indexed="10"/>
        <rFont val="微软雅黑"/>
        <charset val="134"/>
      </rPr>
      <t>不含</t>
    </r>
    <r>
      <rPr>
        <b/>
        <sz val="9"/>
        <color theme="1"/>
        <rFont val="微软雅黑"/>
        <charset val="134"/>
      </rPr>
      <t>）-4.5分（含）</t>
    </r>
  </si>
  <si>
    <t>部分超出预期</t>
  </si>
  <si>
    <t>部分超过预期绩效目标或职责要求，并在目标达成过程中价值观行为堪称典范，对团队其他成员有积极的影响作用。</t>
  </si>
  <si>
    <r>
      <rPr>
        <b/>
        <sz val="9"/>
        <color theme="1"/>
        <rFont val="微软雅黑"/>
        <charset val="134"/>
      </rPr>
      <t>3.5分（</t>
    </r>
    <r>
      <rPr>
        <b/>
        <sz val="9"/>
        <color indexed="10"/>
        <rFont val="微软雅黑"/>
        <charset val="134"/>
      </rPr>
      <t>不含</t>
    </r>
    <r>
      <rPr>
        <b/>
        <sz val="9"/>
        <color theme="1"/>
        <rFont val="微软雅黑"/>
        <charset val="134"/>
      </rPr>
      <t>）-4分（含）</t>
    </r>
  </si>
  <si>
    <t>符合预期</t>
  </si>
  <si>
    <t>达到预期职责目标或绩效要求，在目标或职责要求所涉及的主要方面取得较突出的成绩，并在过程中一贯保持良好的价值观，能够对团队产生一定的影响。</t>
  </si>
  <si>
    <r>
      <rPr>
        <b/>
        <sz val="9"/>
        <color theme="1"/>
        <rFont val="微软雅黑"/>
        <charset val="134"/>
      </rPr>
      <t>3分（</t>
    </r>
    <r>
      <rPr>
        <b/>
        <sz val="9"/>
        <color indexed="10"/>
        <rFont val="微软雅黑"/>
        <charset val="134"/>
      </rPr>
      <t>不含</t>
    </r>
    <r>
      <rPr>
        <b/>
        <sz val="9"/>
        <color theme="1"/>
        <rFont val="微软雅黑"/>
        <charset val="134"/>
      </rPr>
      <t>）-3.5分（含）</t>
    </r>
  </si>
  <si>
    <t>部分不符合预期</t>
  </si>
  <si>
    <t>大部分情况下能够达到职责目标要求，但在工作绩效、专业技能方面仍有提高的潜力和必要。</t>
  </si>
  <si>
    <t>3分及以下</t>
  </si>
  <si>
    <t>不符合预期</t>
  </si>
  <si>
    <t>不能达到本岗位的职责要求，无法完成预期目标，或在价值观方面不能满足公司的要求，在团队内部带来不良的影响，必须大幅改进或予以淘汰。</t>
  </si>
  <si>
    <t>价值观</t>
  </si>
  <si>
    <t>定义</t>
  </si>
  <si>
    <t>评判标准</t>
  </si>
  <si>
    <t>1. 对公司价值，产品价值及个人能力都高度自信，并对内对外积极传播公司与产品价值。
2. 相信并坚定为了实践公司价值与产品价值不断追求创新，不断寻找最优解。
3. 专业至上，用户优先。始终为满足用户需求，提供专业解决方案而努力。</t>
  </si>
  <si>
    <t>1. 尊重团队，信任团队，关键时刻愿意为了团队的利益牺牲小我
2. 沟通坦诚直接，不拐弯抹角，敢于在团队决策中充分表达专业意见。
3. 相信团队决策是为了整体利益，并对团队的最终决定坚定执行。</t>
  </si>
  <si>
    <t>1. 持续追求个人的成长，能够根据工作目标制定合理的学习成长规划，并坚持终身学习与终身成长。
2. 在个人及团队成长的过程中，不畏惧困难，勇于挑战现状，不断追求超越。
3. 在面对挑战性任务或者困难时刻，敢于挺身而出，勇挑重担。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</si>
</sst>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9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0"/>
      <name val="微软雅黑"/>
      <charset val="134"/>
    </font>
    <font>
      <b/>
      <sz val="8"/>
      <color theme="1"/>
      <name val="微软雅黑"/>
      <charset val="134"/>
    </font>
    <font>
      <sz val="9"/>
      <color theme="1"/>
      <name val="微软雅黑"/>
      <charset val="134"/>
    </font>
    <font>
      <sz val="12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color indexed="1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5E3CF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0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8" applyNumberFormat="0" applyAlignment="0" applyProtection="0">
      <alignment vertical="center"/>
    </xf>
    <xf numFmtId="0" fontId="25" fillId="12" borderId="19" applyNumberFormat="0" applyAlignment="0" applyProtection="0">
      <alignment vertical="center"/>
    </xf>
    <xf numFmtId="0" fontId="26" fillId="12" borderId="18" applyNumberFormat="0" applyAlignment="0" applyProtection="0">
      <alignment vertical="center"/>
    </xf>
    <xf numFmtId="0" fontId="27" fillId="13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top" wrapText="1"/>
    </xf>
    <xf numFmtId="0" fontId="1" fillId="0" borderId="1" xfId="0" applyFont="1" applyBorder="1" applyAlignment="1" applyProtection="1">
      <alignment horizontal="left" vertical="top"/>
    </xf>
    <xf numFmtId="0" fontId="2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6" borderId="0" xfId="0" applyFont="1" applyFill="1" applyProtection="1">
      <alignment vertical="center"/>
      <protection locked="0"/>
    </xf>
    <xf numFmtId="0" fontId="2" fillId="6" borderId="0" xfId="0" applyFont="1" applyFill="1" applyAlignment="1" applyProtection="1">
      <alignment horizontal="left" vertical="center" wrapText="1"/>
      <protection locked="0"/>
    </xf>
    <xf numFmtId="0" fontId="3" fillId="6" borderId="0" xfId="0" applyFont="1" applyFill="1" applyProtection="1">
      <alignment vertical="center"/>
      <protection locked="0"/>
    </xf>
    <xf numFmtId="0" fontId="7" fillId="6" borderId="0" xfId="0" applyFont="1" applyFill="1" applyAlignment="1" applyProtection="1">
      <alignment vertical="center"/>
      <protection locked="0"/>
    </xf>
    <xf numFmtId="0" fontId="2" fillId="6" borderId="0" xfId="0" applyFont="1" applyFill="1" applyBorder="1" applyProtection="1">
      <alignment vertical="center"/>
      <protection locked="0"/>
    </xf>
    <xf numFmtId="0" fontId="8" fillId="6" borderId="0" xfId="0" applyFont="1" applyFill="1" applyProtection="1">
      <alignment vertical="center"/>
      <protection locked="0"/>
    </xf>
    <xf numFmtId="0" fontId="9" fillId="6" borderId="0" xfId="0" applyFont="1" applyFill="1" applyProtection="1">
      <alignment vertical="center"/>
      <protection locked="0"/>
    </xf>
    <xf numFmtId="0" fontId="10" fillId="0" borderId="4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2" fillId="2" borderId="8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9" fontId="13" fillId="0" borderId="7" xfId="3" applyFont="1" applyBorder="1" applyAlignment="1" applyProtection="1">
      <alignment horizontal="center" vertical="center" wrapText="1"/>
      <protection locked="0"/>
    </xf>
    <xf numFmtId="9" fontId="13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 applyProtection="1">
      <alignment horizontal="left" vertical="center" wrapText="1"/>
      <protection locked="0"/>
    </xf>
    <xf numFmtId="0" fontId="13" fillId="7" borderId="1" xfId="0" applyFont="1" applyFill="1" applyBorder="1" applyAlignment="1" applyProtection="1">
      <alignment horizontal="center" vertical="center" wrapText="1"/>
      <protection locked="0"/>
    </xf>
    <xf numFmtId="0" fontId="13" fillId="7" borderId="1" xfId="0" applyFont="1" applyFill="1" applyBorder="1" applyAlignment="1" applyProtection="1">
      <alignment horizontal="left" vertical="center" wrapText="1"/>
      <protection locked="0"/>
    </xf>
    <xf numFmtId="0" fontId="3" fillId="8" borderId="8" xfId="0" applyFont="1" applyFill="1" applyBorder="1" applyAlignment="1" applyProtection="1">
      <alignment horizontal="center" vertical="center" wrapText="1"/>
      <protection locked="0"/>
    </xf>
    <xf numFmtId="0" fontId="3" fillId="8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left" vertical="center"/>
      <protection locked="0"/>
    </xf>
    <xf numFmtId="0" fontId="13" fillId="0" borderId="11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Fill="1" applyBorder="1" applyAlignment="1" applyProtection="1">
      <alignment horizontal="center" vertical="center" wrapText="1"/>
      <protection locked="0"/>
    </xf>
    <xf numFmtId="9" fontId="2" fillId="0" borderId="12" xfId="3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13" fillId="0" borderId="11" xfId="0" applyFont="1" applyFill="1" applyBorder="1" applyAlignment="1" applyProtection="1">
      <alignment horizontal="left" vertical="center" wrapText="1"/>
      <protection locked="0"/>
    </xf>
    <xf numFmtId="0" fontId="13" fillId="0" borderId="12" xfId="0" applyFont="1" applyFill="1" applyBorder="1" applyAlignment="1" applyProtection="1">
      <alignment horizontal="left" vertical="center" wrapText="1"/>
      <protection locked="0"/>
    </xf>
    <xf numFmtId="0" fontId="2" fillId="7" borderId="8" xfId="0" applyFont="1" applyFill="1" applyBorder="1" applyAlignment="1" applyProtection="1">
      <alignment horizontal="left" vertical="center"/>
      <protection locked="0"/>
    </xf>
    <xf numFmtId="0" fontId="13" fillId="0" borderId="0" xfId="0" applyFont="1" applyFill="1" applyBorder="1" applyAlignment="1" applyProtection="1">
      <alignment horizontal="center" vertical="center" wrapText="1"/>
      <protection locked="0"/>
    </xf>
    <xf numFmtId="9" fontId="2" fillId="0" borderId="0" xfId="3" applyFont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vertical="center" wrapText="1"/>
    </xf>
    <xf numFmtId="0" fontId="3" fillId="0" borderId="5" xfId="0" applyFont="1" applyBorder="1" applyAlignment="1" applyProtection="1">
      <alignment horizontal="left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11" fillId="2" borderId="11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0" fontId="11" fillId="2" borderId="13" xfId="0" applyFont="1" applyFill="1" applyBorder="1" applyAlignment="1" applyProtection="1">
      <alignment horizontal="center" vertical="center" wrapText="1"/>
    </xf>
    <xf numFmtId="0" fontId="11" fillId="2" borderId="9" xfId="0" applyFont="1" applyFill="1" applyBorder="1" applyAlignment="1" applyProtection="1">
      <alignment horizontal="center" vertical="center" wrapText="1"/>
    </xf>
    <xf numFmtId="0" fontId="11" fillId="0" borderId="5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9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center"/>
    </xf>
    <xf numFmtId="0" fontId="1" fillId="0" borderId="7" xfId="0" applyFont="1" applyBorder="1" applyAlignment="1" applyProtection="1">
      <alignment horizontal="left" vertical="center"/>
    </xf>
    <xf numFmtId="0" fontId="1" fillId="9" borderId="1" xfId="0" applyFont="1" applyFill="1" applyBorder="1" applyAlignment="1" applyProtection="1">
      <alignment horizontal="center" vertical="center"/>
    </xf>
    <xf numFmtId="0" fontId="13" fillId="0" borderId="14" xfId="0" applyFont="1" applyFill="1" applyBorder="1" applyAlignment="1" applyProtection="1">
      <alignment horizontal="center" vertical="center" wrapText="1"/>
      <protection locked="0"/>
    </xf>
    <xf numFmtId="9" fontId="2" fillId="0" borderId="14" xfId="3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1" fillId="0" borderId="0" xfId="0" applyFont="1" applyProtection="1">
      <alignment vertical="center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</xf>
    <xf numFmtId="0" fontId="2" fillId="7" borderId="1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D8E4BC"/>
      <color rgb="00C4D79B"/>
      <color rgb="00E6B8B7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abSelected="1" zoomScale="89" zoomScaleNormal="89" topLeftCell="A11" workbookViewId="0">
      <selection activeCell="D22" sqref="D22:E22"/>
    </sheetView>
  </sheetViews>
  <sheetFormatPr defaultColWidth="9" defaultRowHeight="16.8"/>
  <cols>
    <col min="1" max="1" width="8.75" style="32" customWidth="1"/>
    <col min="2" max="2" width="33.875" style="32" customWidth="1"/>
    <col min="3" max="3" width="13.125" style="32" customWidth="1"/>
    <col min="4" max="4" width="40.5" style="32" customWidth="1"/>
    <col min="5" max="5" width="10.625" style="32" customWidth="1"/>
    <col min="6" max="6" width="16.5" style="32" customWidth="1"/>
    <col min="7" max="7" width="23" style="32" customWidth="1"/>
    <col min="8" max="8" width="11.875" style="32" customWidth="1"/>
    <col min="9" max="9" width="34.75" style="32" customWidth="1"/>
    <col min="10" max="10" width="16.5" style="32" customWidth="1"/>
    <col min="11" max="16384" width="9" style="32"/>
  </cols>
  <sheetData>
    <row r="1" ht="47.25" customHeight="1" spans="1:10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="27" customFormat="1" ht="19.5" customHeight="1" spans="1:10">
      <c r="A2" s="8" t="s">
        <v>1</v>
      </c>
      <c r="B2" s="36"/>
      <c r="C2" s="37"/>
      <c r="D2" s="37"/>
      <c r="E2" s="38" t="s">
        <v>2</v>
      </c>
      <c r="F2" s="39"/>
      <c r="G2" s="39"/>
      <c r="H2" s="39"/>
      <c r="I2" s="39"/>
      <c r="J2" s="39"/>
    </row>
    <row r="3" s="27" customFormat="1" ht="19.5" customHeight="1" spans="1:10">
      <c r="A3" s="8" t="s">
        <v>3</v>
      </c>
      <c r="B3" s="36"/>
      <c r="C3" s="37"/>
      <c r="D3" s="37"/>
      <c r="E3" s="40" t="s">
        <v>4</v>
      </c>
      <c r="F3" s="39"/>
      <c r="G3" s="39"/>
      <c r="H3" s="39"/>
      <c r="I3" s="39"/>
      <c r="J3" s="39"/>
    </row>
    <row r="4" s="27" customFormat="1" ht="19.5" customHeight="1" spans="1:10">
      <c r="A4" s="8" t="s">
        <v>5</v>
      </c>
      <c r="B4" s="36"/>
      <c r="C4" s="37"/>
      <c r="D4" s="41"/>
      <c r="E4" s="40" t="s">
        <v>6</v>
      </c>
      <c r="F4" s="39"/>
      <c r="G4" s="39"/>
      <c r="H4" s="39"/>
      <c r="I4" s="39"/>
      <c r="J4" s="39"/>
    </row>
    <row r="5" s="27" customFormat="1" ht="19.5" customHeight="1" spans="1:10">
      <c r="A5" s="42"/>
      <c r="B5" s="42"/>
      <c r="C5" s="42"/>
      <c r="D5" s="42"/>
      <c r="E5" s="42"/>
      <c r="F5" s="42"/>
      <c r="G5" s="42"/>
      <c r="H5" s="43"/>
      <c r="I5" s="43"/>
      <c r="J5" s="42"/>
    </row>
    <row r="6" s="28" customFormat="1" ht="21.75" customHeight="1" spans="1:10">
      <c r="A6" s="44" t="s">
        <v>7</v>
      </c>
      <c r="B6" s="44"/>
      <c r="C6" s="44"/>
      <c r="D6" s="44"/>
      <c r="E6" s="44"/>
      <c r="F6" s="44"/>
      <c r="G6" s="44"/>
      <c r="H6" s="44"/>
      <c r="I6" s="44"/>
      <c r="J6" s="44"/>
    </row>
    <row r="7" s="28" customFormat="1" ht="21.75" customHeight="1" spans="1:10">
      <c r="A7" s="45" t="s">
        <v>8</v>
      </c>
      <c r="B7" s="46" t="s">
        <v>9</v>
      </c>
      <c r="C7" s="47" t="s">
        <v>10</v>
      </c>
      <c r="D7" s="46" t="s">
        <v>11</v>
      </c>
      <c r="E7" s="48" t="s">
        <v>12</v>
      </c>
      <c r="F7" s="49"/>
      <c r="G7" s="50"/>
      <c r="H7" s="48" t="s">
        <v>13</v>
      </c>
      <c r="I7" s="50"/>
      <c r="J7" s="51" t="s">
        <v>14</v>
      </c>
    </row>
    <row r="8" s="28" customFormat="1" ht="21.75" customHeight="1" spans="1:10">
      <c r="A8" s="52"/>
      <c r="B8" s="46"/>
      <c r="C8" s="53"/>
      <c r="D8" s="46"/>
      <c r="E8" s="46" t="s">
        <v>15</v>
      </c>
      <c r="F8" s="48" t="s">
        <v>16</v>
      </c>
      <c r="G8" s="50"/>
      <c r="H8" s="46" t="s">
        <v>15</v>
      </c>
      <c r="I8" s="46" t="s">
        <v>17</v>
      </c>
      <c r="J8" s="54"/>
    </row>
    <row r="9" s="29" customFormat="1" ht="51" customHeight="1" spans="1:10">
      <c r="A9" s="55">
        <v>1</v>
      </c>
      <c r="B9" s="56"/>
      <c r="C9" s="57"/>
      <c r="D9" s="58"/>
      <c r="E9" s="55"/>
      <c r="F9" s="59"/>
      <c r="G9" s="60"/>
      <c r="H9" s="61"/>
      <c r="I9" s="62"/>
      <c r="J9" s="63" t="str">
        <f>IF(H14&lt;=3,"不符合预期",IF(H14&lt;=3.5,"部分不符合预期",IF(H14&lt;=4,"符合预期",IF(H14&lt;=4.5,"部分超出预期","优秀"))))</f>
        <v>不符合预期</v>
      </c>
    </row>
    <row r="10" s="30" customFormat="1" ht="51" customHeight="1" spans="1:10">
      <c r="A10" s="55">
        <v>2</v>
      </c>
      <c r="B10" s="56"/>
      <c r="C10" s="57"/>
      <c r="D10" s="58"/>
      <c r="E10" s="55"/>
      <c r="F10" s="59"/>
      <c r="G10" s="60"/>
      <c r="H10" s="61"/>
      <c r="I10" s="62"/>
      <c r="J10" s="64"/>
    </row>
    <row r="11" s="30" customFormat="1" ht="51" customHeight="1" spans="1:10">
      <c r="A11" s="55">
        <v>3</v>
      </c>
      <c r="B11" s="56"/>
      <c r="C11" s="57"/>
      <c r="D11" s="58"/>
      <c r="E11" s="55"/>
      <c r="F11" s="59"/>
      <c r="G11" s="60"/>
      <c r="H11" s="61"/>
      <c r="I11" s="62"/>
      <c r="J11" s="64"/>
    </row>
    <row r="12" s="29" customFormat="1" ht="51" customHeight="1" spans="1:10">
      <c r="A12" s="55">
        <v>4</v>
      </c>
      <c r="B12" s="56"/>
      <c r="C12" s="57"/>
      <c r="D12" s="58"/>
      <c r="E12" s="55"/>
      <c r="F12" s="59"/>
      <c r="G12" s="60"/>
      <c r="H12" s="61"/>
      <c r="I12" s="62"/>
      <c r="J12" s="64"/>
    </row>
    <row r="13" s="27" customFormat="1" ht="51" customHeight="1" spans="1:10">
      <c r="A13" s="55">
        <v>5</v>
      </c>
      <c r="B13" s="65"/>
      <c r="C13" s="57"/>
      <c r="D13" s="14"/>
      <c r="E13" s="66"/>
      <c r="F13" s="59"/>
      <c r="G13" s="60"/>
      <c r="H13" s="67"/>
      <c r="I13" s="68"/>
      <c r="J13" s="64"/>
    </row>
    <row r="14" s="27" customFormat="1" ht="15" customHeight="1" spans="1:10">
      <c r="A14" s="69" t="s">
        <v>18</v>
      </c>
      <c r="B14" s="70"/>
      <c r="C14" s="71">
        <f>SUM(C9:C13)</f>
        <v>0</v>
      </c>
      <c r="D14" s="72"/>
      <c r="E14" s="63">
        <f>E9*C9+E10*C10+E11*C11+E12*C12+E13*C13</f>
        <v>0</v>
      </c>
      <c r="F14" s="73"/>
      <c r="G14" s="74"/>
      <c r="H14" s="63">
        <f>H9*C9+H10*C10+H11*C11+H12*C12+H13*C13</f>
        <v>0</v>
      </c>
      <c r="I14" s="75"/>
      <c r="J14" s="64"/>
    </row>
    <row r="15" s="31" customFormat="1" ht="15" customHeight="1" spans="1:10">
      <c r="A15" s="76"/>
      <c r="B15" s="76"/>
      <c r="C15" s="77"/>
      <c r="D15" s="42"/>
      <c r="E15" s="78"/>
      <c r="F15" s="79"/>
      <c r="G15" s="79"/>
      <c r="H15" s="78"/>
      <c r="I15" s="80"/>
      <c r="J15" s="78"/>
    </row>
    <row r="16" s="32" customFormat="1" ht="22.5" customHeight="1" spans="1:10">
      <c r="A16" s="81" t="s">
        <v>19</v>
      </c>
      <c r="B16" s="81"/>
      <c r="C16" s="81"/>
      <c r="D16" s="81"/>
      <c r="E16" s="81"/>
      <c r="F16" s="81"/>
      <c r="G16" s="81"/>
      <c r="H16" s="81"/>
      <c r="I16" s="81"/>
      <c r="J16" s="81"/>
    </row>
    <row r="17" s="32" customFormat="1" ht="72" customHeight="1" spans="1:10">
      <c r="A17" s="82" t="s">
        <v>20</v>
      </c>
      <c r="B17" s="83" t="s">
        <v>21</v>
      </c>
      <c r="C17" s="84"/>
      <c r="D17" s="84"/>
      <c r="E17" s="84"/>
      <c r="F17" s="85" t="s">
        <v>22</v>
      </c>
      <c r="G17" s="85"/>
      <c r="H17" s="85"/>
      <c r="I17" s="85"/>
      <c r="J17" s="85"/>
    </row>
    <row r="18" s="32" customFormat="1" spans="1:10">
      <c r="A18" s="86" t="s">
        <v>8</v>
      </c>
      <c r="B18" s="87" t="s">
        <v>23</v>
      </c>
      <c r="C18" s="87" t="s">
        <v>12</v>
      </c>
      <c r="D18" s="87"/>
      <c r="E18" s="87"/>
      <c r="F18" s="87" t="s">
        <v>24</v>
      </c>
      <c r="G18" s="87"/>
      <c r="H18" s="87"/>
      <c r="I18" s="87"/>
      <c r="J18" s="87"/>
    </row>
    <row r="19" s="32" customFormat="1" spans="1:10">
      <c r="A19" s="88"/>
      <c r="B19" s="87"/>
      <c r="C19" s="87" t="s">
        <v>15</v>
      </c>
      <c r="D19" s="87" t="s">
        <v>25</v>
      </c>
      <c r="E19" s="87"/>
      <c r="F19" s="89" t="s">
        <v>15</v>
      </c>
      <c r="G19" s="87" t="s">
        <v>25</v>
      </c>
      <c r="H19" s="87"/>
      <c r="I19" s="87"/>
      <c r="J19" s="87"/>
    </row>
    <row r="20" s="33" customFormat="1" spans="1:10">
      <c r="A20" s="90">
        <v>1</v>
      </c>
      <c r="B20" s="91" t="s">
        <v>26</v>
      </c>
      <c r="C20" s="92"/>
      <c r="D20" s="93"/>
      <c r="E20" s="93"/>
      <c r="F20" s="94" t="s">
        <v>27</v>
      </c>
      <c r="G20" s="95"/>
      <c r="H20" s="95"/>
      <c r="I20" s="95"/>
      <c r="J20" s="95"/>
    </row>
    <row r="21" s="33" customFormat="1" spans="1:10">
      <c r="A21" s="90">
        <v>2</v>
      </c>
      <c r="B21" s="91" t="s">
        <v>28</v>
      </c>
      <c r="C21" s="96"/>
      <c r="D21" s="93"/>
      <c r="E21" s="93"/>
      <c r="F21" s="94" t="s">
        <v>27</v>
      </c>
      <c r="G21" s="95"/>
      <c r="H21" s="95"/>
      <c r="I21" s="95"/>
      <c r="J21" s="95"/>
    </row>
    <row r="22" s="33" customFormat="1" spans="1:10">
      <c r="A22" s="90">
        <v>3</v>
      </c>
      <c r="B22" s="91" t="s">
        <v>29</v>
      </c>
      <c r="C22" s="96"/>
      <c r="D22" s="93"/>
      <c r="E22" s="93"/>
      <c r="F22" s="94" t="s">
        <v>30</v>
      </c>
      <c r="G22" s="95"/>
      <c r="H22" s="95"/>
      <c r="I22" s="95"/>
      <c r="J22" s="95"/>
    </row>
    <row r="23" s="33" customFormat="1" spans="1:10">
      <c r="A23" s="90">
        <v>4</v>
      </c>
      <c r="B23" s="97"/>
      <c r="C23" s="96"/>
      <c r="D23" s="93"/>
      <c r="E23" s="93"/>
      <c r="F23" s="94" t="s">
        <v>30</v>
      </c>
      <c r="G23" s="95"/>
      <c r="H23" s="95"/>
      <c r="I23" s="95"/>
      <c r="J23" s="95"/>
    </row>
    <row r="24" s="27" customFormat="1" spans="1:10">
      <c r="A24" s="98" t="s">
        <v>31</v>
      </c>
      <c r="B24" s="99"/>
      <c r="C24" s="99"/>
      <c r="D24" s="99"/>
      <c r="E24" s="99"/>
      <c r="F24" s="99"/>
      <c r="G24" s="100" t="str">
        <f>IF(AND(COUNTIF(F20:F23,"甲")&gt;=3,COUNTIF(F20:F23,"丙")=0),"甲",IF(COUNTIF(F20:F23,"丙")&gt;=1,"丙",IF(AND(COUNTIF(F20:F23,"甲")&lt;=2,COUNTIF(F20:F23,"丙")=0),"乙")))</f>
        <v>乙</v>
      </c>
      <c r="H24" s="100"/>
      <c r="I24" s="100"/>
      <c r="J24" s="100"/>
    </row>
    <row r="25" s="33" customFormat="1" spans="1:10">
      <c r="A25" s="101" t="s">
        <v>32</v>
      </c>
      <c r="B25" s="102"/>
      <c r="C25" s="102"/>
      <c r="D25" s="102"/>
      <c r="E25" s="102"/>
      <c r="F25" s="103"/>
      <c r="G25" s="104" t="str">
        <f>J8&amp;G24</f>
        <v>乙</v>
      </c>
      <c r="H25" s="104"/>
      <c r="I25" s="104"/>
      <c r="J25" s="104"/>
    </row>
    <row r="26" s="27" customFormat="1" ht="40" customHeight="1" spans="1:10">
      <c r="A26" s="69"/>
      <c r="B26" s="105"/>
      <c r="C26" s="106"/>
      <c r="D26" s="107"/>
      <c r="E26" s="108"/>
      <c r="F26" s="108"/>
      <c r="G26" s="108"/>
      <c r="H26" s="108"/>
      <c r="I26" s="108"/>
      <c r="J26" s="108"/>
    </row>
    <row r="27" s="33" customFormat="1" ht="87" customHeight="1" spans="1:10">
      <c r="A27" s="51" t="s">
        <v>33</v>
      </c>
      <c r="B27" s="51" t="s">
        <v>34</v>
      </c>
      <c r="C27" s="109" t="s">
        <v>35</v>
      </c>
      <c r="D27" s="109"/>
      <c r="E27" s="109"/>
      <c r="F27" s="109"/>
      <c r="G27" s="109"/>
      <c r="H27" s="109"/>
      <c r="I27" s="109"/>
      <c r="J27" s="109"/>
    </row>
    <row r="28" s="33" customFormat="1" ht="75.75" customHeight="1" spans="1:10">
      <c r="A28" s="110"/>
      <c r="B28" s="54"/>
      <c r="C28" s="109" t="s">
        <v>36</v>
      </c>
      <c r="D28" s="109"/>
      <c r="E28" s="109"/>
      <c r="F28" s="109"/>
      <c r="G28" s="109"/>
      <c r="H28" s="109"/>
      <c r="I28" s="109"/>
      <c r="J28" s="109"/>
    </row>
    <row r="29" s="33" customFormat="1" ht="75.75" customHeight="1" spans="1:10">
      <c r="A29" s="110"/>
      <c r="B29" s="51" t="s">
        <v>37</v>
      </c>
      <c r="C29" s="111" t="s">
        <v>38</v>
      </c>
      <c r="D29" s="111"/>
      <c r="E29" s="111"/>
      <c r="F29" s="111"/>
      <c r="G29" s="111"/>
      <c r="H29" s="111"/>
      <c r="I29" s="111"/>
      <c r="J29" s="111"/>
    </row>
    <row r="30" s="33" customFormat="1" ht="75.75" customHeight="1" spans="1:10">
      <c r="A30" s="54"/>
      <c r="B30" s="54"/>
      <c r="C30" s="111" t="s">
        <v>39</v>
      </c>
      <c r="D30" s="111"/>
      <c r="E30" s="111"/>
      <c r="F30" s="111"/>
      <c r="G30" s="111"/>
      <c r="H30" s="111"/>
      <c r="I30" s="111"/>
      <c r="J30" s="111"/>
    </row>
    <row r="31" spans="1:10">
      <c r="A31" s="112"/>
      <c r="B31" s="112"/>
      <c r="C31" s="112"/>
      <c r="D31" s="112"/>
      <c r="E31" s="112"/>
      <c r="F31" s="112"/>
      <c r="G31" s="112"/>
      <c r="H31" s="112"/>
      <c r="I31" s="112"/>
      <c r="J31" s="112"/>
    </row>
    <row r="32" spans="1:10">
      <c r="A32" s="113" t="s">
        <v>40</v>
      </c>
      <c r="B32" s="113"/>
      <c r="C32" s="113"/>
      <c r="D32" s="113" t="s">
        <v>41</v>
      </c>
      <c r="E32" s="113"/>
      <c r="F32" s="113"/>
      <c r="G32" s="113" t="s">
        <v>42</v>
      </c>
      <c r="H32" s="113"/>
      <c r="I32" s="113"/>
      <c r="J32" s="113"/>
    </row>
    <row r="33" spans="1:10">
      <c r="A33" s="113"/>
      <c r="B33" s="113"/>
      <c r="C33" s="113"/>
      <c r="D33" s="113"/>
      <c r="E33" s="113"/>
      <c r="F33" s="113"/>
      <c r="G33" s="113"/>
      <c r="H33" s="113"/>
      <c r="I33" s="113"/>
      <c r="J33" s="113"/>
    </row>
    <row r="34" spans="1:10">
      <c r="A34" s="113"/>
      <c r="B34" s="113"/>
      <c r="C34" s="113"/>
      <c r="D34" s="113"/>
      <c r="E34" s="113"/>
      <c r="F34" s="113"/>
      <c r="G34" s="113"/>
      <c r="H34" s="113"/>
      <c r="I34" s="113"/>
      <c r="J34" s="113"/>
    </row>
    <row r="35" spans="1:10">
      <c r="A35" s="114"/>
      <c r="B35" s="114"/>
      <c r="C35" s="114"/>
      <c r="D35" s="114"/>
      <c r="E35" s="114"/>
      <c r="F35" s="114"/>
      <c r="G35" s="114"/>
      <c r="H35" s="114"/>
      <c r="I35" s="114"/>
      <c r="J35" s="114"/>
    </row>
  </sheetData>
  <sheetProtection insertRows="0"/>
  <mergeCells count="51">
    <mergeCell ref="A1:J1"/>
    <mergeCell ref="B2:D2"/>
    <mergeCell ref="F2:J2"/>
    <mergeCell ref="B3:D3"/>
    <mergeCell ref="F3:J3"/>
    <mergeCell ref="B4:D4"/>
    <mergeCell ref="F4:J4"/>
    <mergeCell ref="A6:J6"/>
    <mergeCell ref="E7:G7"/>
    <mergeCell ref="F8:G8"/>
    <mergeCell ref="F9:G9"/>
    <mergeCell ref="F10:G10"/>
    <mergeCell ref="F11:G11"/>
    <mergeCell ref="F12:G12"/>
    <mergeCell ref="F13:G13"/>
    <mergeCell ref="A14:B14"/>
    <mergeCell ref="F14:G14"/>
    <mergeCell ref="A16:J16"/>
    <mergeCell ref="B17:E17"/>
    <mergeCell ref="F17:J17"/>
    <mergeCell ref="C18:E18"/>
    <mergeCell ref="F18:J18"/>
    <mergeCell ref="D19:E19"/>
    <mergeCell ref="G19:J19"/>
    <mergeCell ref="D20:E20"/>
    <mergeCell ref="G20:J20"/>
    <mergeCell ref="D21:E21"/>
    <mergeCell ref="G21:J21"/>
    <mergeCell ref="D22:E22"/>
    <mergeCell ref="G22:J22"/>
    <mergeCell ref="D23:E23"/>
    <mergeCell ref="G23:J23"/>
    <mergeCell ref="A24:F24"/>
    <mergeCell ref="G24:J24"/>
    <mergeCell ref="A25:F25"/>
    <mergeCell ref="G25:J25"/>
    <mergeCell ref="C27:J27"/>
    <mergeCell ref="C28:J28"/>
    <mergeCell ref="C29:J29"/>
    <mergeCell ref="C30:J30"/>
    <mergeCell ref="A7:A8"/>
    <mergeCell ref="A18:A19"/>
    <mergeCell ref="A27:A30"/>
    <mergeCell ref="B7:B8"/>
    <mergeCell ref="B18:B19"/>
    <mergeCell ref="B27:B28"/>
    <mergeCell ref="B29:B30"/>
    <mergeCell ref="C7:C8"/>
    <mergeCell ref="D7:D8"/>
    <mergeCell ref="J7:J8"/>
    <mergeCell ref="J9:J14"/>
  </mergeCells>
  <dataValidations count="6">
    <dataValidation type="decimal" operator="between" allowBlank="1" showInputMessage="1" showErrorMessage="1" promptTitle="分数填写提示：" prompt="1、整数的最大分值为5分，最小分值为0分；&#10;2、小数以0.25为单位递增或递减；例如：3.25分&#10;3.5分，3.75分；" sqref="E26 G26 E9:E15 H14:H15">
      <formula1>0</formula1>
      <formula2>5</formula2>
    </dataValidation>
    <dataValidation allowBlank="1" showInputMessage="1" showErrorMessage="1" promptTitle="填写原则" prompt="1、应符合smart原则，即具体、可量化、可实现、相关性、时效性&#10;2、3-5个目标为宜&#10;" sqref="B9:B13"/>
    <dataValidation allowBlank="1" showInputMessage="1" showErrorMessage="1" promptTitle="权重设置原则" prompt="根据每项工作的重要性设置权重，总权重=100%&#10;" sqref="C9:C13"/>
    <dataValidation type="list" allowBlank="1" showInputMessage="1" showErrorMessage="1" sqref="C20:C23 F20:F23">
      <formula1>"甲,乙,丙"</formula1>
    </dataValidation>
    <dataValidation allowBlank="1" showInputMessage="1" showErrorMessage="1" promptTitle="考核标准" prompt="4分及以上的成果或交付需写出不同的考核标准:&#10;例如，4分=100%达成年度绩效目标，销售成绩达到100万&#10;5分=110%达成年度绩效目标，销售成绩达到120万&#10;" sqref="D9:D13"/>
    <dataValidation allowBlank="1" showInputMessage="1" showErrorMessage="1" promptTitle="分数填写提示：" prompt="1、整数的最大分值为5分，最小分值为0分；&#10;2、小数以0.25为单位递增或递减；例如：3.25分&#10;3.5分，3.75分；" sqref="H9:H13"/>
  </dataValidations>
  <pageMargins left="0.25" right="0.25" top="0.75" bottom="0.75" header="0.3" footer="0.3"/>
  <pageSetup paperSize="9" scale="31" fitToWidth="0" orientation="landscape"/>
  <headerFooter/>
  <ignoredErrors>
    <ignoredError sqref="E1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11" sqref="D11:E13"/>
    </sheetView>
  </sheetViews>
  <sheetFormatPr defaultColWidth="9" defaultRowHeight="16.8" outlineLevelCol="7"/>
  <cols>
    <col min="2" max="2" width="23.7211538461538" style="3" customWidth="1"/>
    <col min="3" max="3" width="31.4038461538462" customWidth="1"/>
    <col min="5" max="5" width="33.0192307692308" customWidth="1"/>
  </cols>
  <sheetData>
    <row r="1" ht="37.5" customHeight="1" spans="1:8">
      <c r="A1" s="4" t="s">
        <v>43</v>
      </c>
      <c r="B1" s="5"/>
      <c r="C1" s="4"/>
      <c r="D1" s="4"/>
      <c r="E1" s="4"/>
      <c r="F1" s="4"/>
      <c r="G1" s="4"/>
      <c r="H1" s="4"/>
    </row>
    <row r="2" customHeight="1" spans="1:8">
      <c r="A2" s="6" t="s">
        <v>8</v>
      </c>
      <c r="B2" s="7" t="s">
        <v>44</v>
      </c>
      <c r="C2" s="8" t="s">
        <v>45</v>
      </c>
      <c r="D2" s="8" t="s">
        <v>46</v>
      </c>
      <c r="E2" s="8"/>
      <c r="F2" s="9" t="s">
        <v>47</v>
      </c>
      <c r="G2" s="10"/>
      <c r="H2" s="10"/>
    </row>
    <row r="3" ht="64" customHeight="1" spans="1:8">
      <c r="A3" s="11">
        <v>1</v>
      </c>
      <c r="B3" s="12" t="s">
        <v>48</v>
      </c>
      <c r="C3" s="13" t="s">
        <v>49</v>
      </c>
      <c r="D3" s="14" t="s">
        <v>50</v>
      </c>
      <c r="E3" s="14"/>
      <c r="F3" s="10"/>
      <c r="G3" s="10"/>
      <c r="H3" s="10"/>
    </row>
    <row r="4" ht="48" customHeight="1" spans="1:8">
      <c r="A4" s="11">
        <v>2</v>
      </c>
      <c r="B4" s="12" t="s">
        <v>51</v>
      </c>
      <c r="C4" s="15" t="s">
        <v>52</v>
      </c>
      <c r="D4" s="14" t="s">
        <v>53</v>
      </c>
      <c r="E4" s="14"/>
      <c r="F4" s="10"/>
      <c r="G4" s="10"/>
      <c r="H4" s="10"/>
    </row>
    <row r="5" ht="66.75" customHeight="1" spans="1:8">
      <c r="A5" s="11">
        <v>3</v>
      </c>
      <c r="B5" s="12" t="s">
        <v>54</v>
      </c>
      <c r="C5" s="13" t="s">
        <v>55</v>
      </c>
      <c r="D5" s="14" t="s">
        <v>56</v>
      </c>
      <c r="E5" s="14"/>
      <c r="F5" s="10"/>
      <c r="G5" s="10"/>
      <c r="H5" s="10"/>
    </row>
    <row r="6" ht="47.25" customHeight="1" spans="1:8">
      <c r="A6" s="11">
        <v>4</v>
      </c>
      <c r="B6" s="12" t="s">
        <v>57</v>
      </c>
      <c r="C6" s="15" t="s">
        <v>58</v>
      </c>
      <c r="D6" s="16" t="s">
        <v>59</v>
      </c>
      <c r="E6" s="16"/>
      <c r="F6" s="10"/>
      <c r="G6" s="10"/>
      <c r="H6" s="10"/>
    </row>
    <row r="7" ht="64.5" customHeight="1" spans="1:8">
      <c r="A7" s="11">
        <v>5</v>
      </c>
      <c r="B7" s="12" t="s">
        <v>60</v>
      </c>
      <c r="C7" s="15" t="s">
        <v>61</v>
      </c>
      <c r="D7" s="16" t="s">
        <v>62</v>
      </c>
      <c r="E7" s="16"/>
      <c r="F7" s="10"/>
      <c r="G7" s="10"/>
      <c r="H7" s="10"/>
    </row>
    <row r="9" customHeight="1"/>
    <row r="10" s="1" customFormat="1" ht="39" customHeight="1" spans="1:8">
      <c r="B10" s="17" t="s">
        <v>63</v>
      </c>
      <c r="C10" s="17" t="s">
        <v>64</v>
      </c>
      <c r="D10" s="18" t="s">
        <v>65</v>
      </c>
      <c r="E10" s="19"/>
    </row>
    <row r="11" s="2" customFormat="1" ht="121" customHeight="1" spans="1:8">
      <c r="B11" s="20" t="s">
        <v>26</v>
      </c>
      <c r="C11" s="21" t="s">
        <v>66</v>
      </c>
      <c r="D11" s="22" t="s">
        <v>21</v>
      </c>
      <c r="E11" s="23"/>
    </row>
    <row r="12" s="2" customFormat="1" ht="121" customHeight="1" spans="1:8">
      <c r="B12" s="24" t="s">
        <v>28</v>
      </c>
      <c r="C12" s="25" t="s">
        <v>67</v>
      </c>
      <c r="D12" s="22"/>
      <c r="E12" s="23"/>
    </row>
    <row r="13" s="2" customFormat="1" ht="121" customHeight="1" spans="1:8">
      <c r="B13" s="20" t="s">
        <v>29</v>
      </c>
      <c r="C13" s="21" t="s">
        <v>68</v>
      </c>
      <c r="D13" s="22"/>
      <c r="E13" s="23"/>
    </row>
    <row r="14" s="2" customFormat="1" ht="15.2" spans="1:8">
      <c r="C14" s="26"/>
    </row>
    <row r="15" s="2" customFormat="1" ht="15.2" spans="1:8">
      <c r="C15" s="26"/>
    </row>
    <row r="16" s="2" customFormat="1" ht="15.2" spans="1:8">
      <c r="C16" s="26"/>
    </row>
    <row r="17" s="2" customFormat="1" ht="15.2" spans="2:3">
      <c r="C17" s="26"/>
    </row>
    <row r="18" s="2" customFormat="1" ht="15.2" spans="2:3">
      <c r="C18" s="26"/>
    </row>
    <row r="19" s="2" customFormat="1" ht="15.2" spans="2:3">
      <c r="C19" s="26"/>
    </row>
    <row r="20" s="2" customFormat="1" ht="15.2" spans="2:3">
      <c r="C20" s="26"/>
    </row>
    <row r="21" s="2" customFormat="1" ht="15.2" spans="2:3">
      <c r="C21" s="26"/>
    </row>
    <row r="22" s="2" customFormat="1" ht="15.2" spans="2:3">
      <c r="C22" s="26"/>
    </row>
    <row r="23" s="2" customFormat="1" ht="15.2" spans="2:3">
      <c r="C23" s="26"/>
    </row>
    <row r="24" s="2" customFormat="1" ht="15.2" spans="2:3">
      <c r="C24" s="26"/>
    </row>
    <row r="25" s="2" customFormat="1" ht="15.2" spans="2:3">
      <c r="C25" s="26"/>
    </row>
    <row r="26" spans="2:3">
      <c r="B26"/>
      <c r="C26" s="3"/>
    </row>
    <row r="27" spans="2:3">
      <c r="B27"/>
      <c r="C27" s="3"/>
    </row>
    <row r="28" spans="2:3">
      <c r="B28"/>
      <c r="C28" s="3"/>
    </row>
    <row r="29" spans="2:3">
      <c r="B29"/>
      <c r="C29" s="3"/>
    </row>
    <row r="30" spans="2:3">
      <c r="B30"/>
      <c r="C30" s="3"/>
    </row>
    <row r="31" spans="2:3">
      <c r="B31"/>
      <c r="C31" s="3"/>
    </row>
    <row r="32" spans="2:3">
      <c r="B32"/>
      <c r="C32" s="3"/>
    </row>
    <row r="33" spans="2:3">
      <c r="B33"/>
      <c r="C33" s="3"/>
    </row>
    <row r="34" spans="2:3">
      <c r="B34"/>
      <c r="C34" s="3"/>
    </row>
    <row r="35" spans="2:3">
      <c r="B35"/>
      <c r="C35" s="3"/>
    </row>
    <row r="36" spans="2:3">
      <c r="B36"/>
      <c r="C36" s="3"/>
    </row>
    <row r="37" spans="2:3">
      <c r="B37"/>
      <c r="C37" s="3"/>
    </row>
    <row r="38" spans="2:3">
      <c r="B38"/>
      <c r="C38" s="3"/>
    </row>
    <row r="39" spans="2:3">
      <c r="B39"/>
      <c r="C39" s="3"/>
    </row>
    <row r="40" spans="2:3">
      <c r="B40"/>
      <c r="C40" s="3"/>
    </row>
  </sheetData>
  <mergeCells count="10">
    <mergeCell ref="A1:H1"/>
    <mergeCell ref="D2:E2"/>
    <mergeCell ref="D3:E3"/>
    <mergeCell ref="D4:E4"/>
    <mergeCell ref="D5:E5"/>
    <mergeCell ref="D6:E6"/>
    <mergeCell ref="D7:E7"/>
    <mergeCell ref="D10:E10"/>
    <mergeCell ref="F2:H7"/>
    <mergeCell ref="D11:E13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CYOU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目标设定表</vt:lpstr>
      <vt:lpstr>考核标准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Xia</dc:creator>
  <cp:lastModifiedBy>Trent.Shen</cp:lastModifiedBy>
  <dcterms:created xsi:type="dcterms:W3CDTF">2014-07-11T23:17:00Z</dcterms:created>
  <cp:lastPrinted>2018-07-03T19:59:00Z</cp:lastPrinted>
  <dcterms:modified xsi:type="dcterms:W3CDTF">2026-08-04T10:55:18Z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659564677615D0189654716ABAF832B1_42</vt:lpwstr>
  </property>
  <property fmtid="{D5CDD505-2E9C-101B-9397-08002B2CF9AE}" pid="4" name="CalculationRule">
    <vt:i4>0</vt:i4>
  </property>
</Properties>
</file>